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 COMPTA MENSUEL" sheetId="1" state="visible" r:id="rId3"/>
    <sheet name="EXPORT COMPTA" sheetId="2" state="visible" r:id="rId4"/>
  </sheets>
  <externalReferences>
    <externalReference r:id="rId5"/>
  </externalReferenc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<sst xmlns="http://schemas.openxmlformats.org/spreadsheetml/2006/main" count="81" uniqueCount="51">
  <si>
    <t xml:space="preserve">MOIS</t>
  </si>
  <si>
    <t xml:space="preserve">ESPÈCES</t>
  </si>
  <si>
    <t xml:space="preserve">Chèque</t>
  </si>
  <si>
    <t xml:space="preserve">CB</t>
  </si>
  <si>
    <t xml:space="preserve">TOTAL MENSUEL</t>
  </si>
  <si>
    <t xml:space="preserve">Encaissé réel</t>
  </si>
  <si>
    <t xml:space="preserve">Recette Adhésion</t>
  </si>
  <si>
    <t xml:space="preserve">Recette Services</t>
  </si>
  <si>
    <t xml:space="preserve">Recette Produits</t>
  </si>
  <si>
    <t xml:space="preserve">TOTAL</t>
  </si>
  <si>
    <t xml:space="preserve">TOTAL 2</t>
  </si>
  <si>
    <t xml:space="preserve">{{compta.export_comptable_par_mois[].date}}</t>
  </si>
  <si>
    <t xml:space="preserve">{{compta.export_comptable_par_mois[].especes_encaisse_reel}}</t>
  </si>
  <si>
    <t xml:space="preserve">{{compta.export_comptable_par_mois[].especes_recette_adhesion}}</t>
  </si>
  <si>
    <t xml:space="preserve">{{compta.export_comptable_par_mois[].especes_recette_services}}</t>
  </si>
  <si>
    <t xml:space="preserve">{{compta.export_comptable_par_mois[].especes_recette_produits}}</t>
  </si>
  <si>
    <t xml:space="preserve">{{compta.export_comptable_par_mois[].cheque_encaisse_reel}}</t>
  </si>
  <si>
    <t xml:space="preserve">{{compta.export_comptable_par_mois[].cheque_recette_adhesion}}</t>
  </si>
  <si>
    <t xml:space="preserve">{{compta.export_comptable_par_mois[].cheque_recette_services}}</t>
  </si>
  <si>
    <t xml:space="preserve">{{compta.export_comptable_par_mois[].cheque_recette_produits}}</t>
  </si>
  <si>
    <t xml:space="preserve">{{compta.export_comptable_par_mois[].carte_encaisse_reel}}</t>
  </si>
  <si>
    <t xml:space="preserve">{{compta.export_comptable_par_mois[].carte_recette_adhesion}}</t>
  </si>
  <si>
    <t xml:space="preserve">{{compta.export_comptable_par_mois[].carte_recette_services}}</t>
  </si>
  <si>
    <t xml:space="preserve">{{compta.export_comptable_par_mois[].carte_recette_produits}}</t>
  </si>
  <si>
    <t xml:space="preserve">{{compta.export_comptable_par_mois[].total_encaisse_reel}}</t>
  </si>
  <si>
    <t xml:space="preserve">{{compta.export_comptable_par_mois[].total_recette_adhesion}}</t>
  </si>
  <si>
    <t xml:space="preserve">{{compta.export_comptable_par_mois[].total_recette_services}}</t>
  </si>
  <si>
    <t xml:space="preserve">{{compta.export_comptable_par_mois[].total_recette_produits}}</t>
  </si>
  <si>
    <t xml:space="preserve">DATE</t>
  </si>
  <si>
    <t xml:space="preserve">Espèces</t>
  </si>
  <si>
    <t xml:space="preserve">Écart</t>
  </si>
  <si>
    <t xml:space="preserve">Recette Totale</t>
  </si>
  <si>
    <t xml:space="preserve">{{compta.export_comptable_par_jour[].date}}</t>
  </si>
  <si>
    <t xml:space="preserve">{{compta.export_comptable_par_jour[].especes_encaisse_reel}}</t>
  </si>
  <si>
    <t xml:space="preserve">{{compta.export_comptable_par_jour[].especes_ecart}}</t>
  </si>
  <si>
    <t xml:space="preserve">{{compta.export_comptable_par_jour[].especes_recette_totale}}</t>
  </si>
  <si>
    <t xml:space="preserve">{{compta.export_comptable_par_jour[].especes_recette_adhesion}}</t>
  </si>
  <si>
    <t xml:space="preserve">{{compta.export_comptable_par_jour[].especes_recette_services}}</t>
  </si>
  <si>
    <t xml:space="preserve">{{compta.export_comptable_par_jour[].especes_recette_produits}}</t>
  </si>
  <si>
    <t xml:space="preserve">{{compta.export_comptable_par_jour[].cheque_encaisse_reel}}</t>
  </si>
  <si>
    <t xml:space="preserve">{{compta.export_comptable_par_jour[].cheque_ecart}}</t>
  </si>
  <si>
    <t xml:space="preserve">{{compta.export_comptable_par_jour[].cheque_recette_totale}}</t>
  </si>
  <si>
    <t xml:space="preserve">{{compta.export_comptable_par_jour[].cheque_recette_adhesion}}</t>
  </si>
  <si>
    <t xml:space="preserve">{{compta.export_comptable_par_jour[].cheque_recette_services}}</t>
  </si>
  <si>
    <t xml:space="preserve">{{compta.export_comptable_par_jour[].cheque_recette_produits}}</t>
  </si>
  <si>
    <t xml:space="preserve">{{compta.export_comptable_par_jour[].carte_encaisse_reel}}</t>
  </si>
  <si>
    <t xml:space="preserve">{{compta.export_comptable_par_jour[].carte_ecart}}</t>
  </si>
  <si>
    <t xml:space="preserve">{{compta.export_comptable_par_jour[].carte_recette_totale}}</t>
  </si>
  <si>
    <t xml:space="preserve">{{compta.export_comptable_par_jour[].carte_recette_adhesion}}</t>
  </si>
  <si>
    <t xml:space="preserve">{{compta.export_comptable_par_jour[].carte_recette_services}}</t>
  </si>
  <si>
    <t xml:space="preserve">{{compta.export_comptable_par_jour[].carte_recette_produits}}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</si>
</sst>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#,##0.00\ [$€-40C];[RED]\-#,##0.00\ [$€-40C]"/>
    <numFmt numFmtId="167" formatCode="mmm\ 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CCCCCC"/>
        <bgColor rgb="FFB4C7DC"/>
      </patternFill>
    </fill>
    <fill>
      <patternFill patternType="solid">
        <fgColor rgb="FF77BC65"/>
        <bgColor rgb="FFAFD095"/>
      </patternFill>
    </fill>
    <fill>
      <patternFill patternType="solid">
        <fgColor rgb="FF729FCF"/>
        <bgColor rgb="FF808080"/>
      </patternFill>
    </fill>
    <fill>
      <patternFill patternType="solid">
        <fgColor rgb="FFFFDE59"/>
        <bgColor rgb="FFFFE994"/>
      </patternFill>
    </fill>
    <fill>
      <patternFill patternType="solid">
        <fgColor rgb="FFE16173"/>
        <bgColor rgb="FFFF6600"/>
      </patternFill>
    </fill>
    <fill>
      <patternFill patternType="solid">
        <fgColor rgb="FFAFD095"/>
        <bgColor rgb="FFCCCCCC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E59"/>
      </patternFill>
    </fill>
    <fill>
      <patternFill patternType="solid">
        <fgColor rgb="FFEC9BA4"/>
        <bgColor rgb="FFCC99FF"/>
      </patternFill>
    </fill>
    <fill>
      <patternFill patternType="solid">
        <fgColor rgb="FFDDE8CB"/>
        <bgColor rgb="FFDDDDDD"/>
      </patternFill>
    </fill>
    <fill>
      <patternFill patternType="solid">
        <fgColor rgb="FFDEE6EF"/>
        <bgColor rgb="FFDDDDDD"/>
      </patternFill>
    </fill>
    <fill>
      <patternFill patternType="solid">
        <fgColor rgb="FFFFF5CE"/>
        <bgColor rgb="FFEEEEEE"/>
      </patternFill>
    </fill>
    <fill>
      <patternFill patternType="solid">
        <fgColor rgb="FFF7D1D5"/>
        <bgColor rgb="FFDDDDDD"/>
      </patternFill>
    </fill>
    <fill>
      <patternFill patternType="solid">
        <fgColor rgb="FFEEEEEE"/>
        <bgColor rgb="FFDEE6EF"/>
      </patternFill>
    </fill>
    <fill>
      <patternFill patternType="solid">
        <fgColor rgb="FFDDDDDD"/>
        <bgColor rgb="FFDEE6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9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9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1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1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1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1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1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1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1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5CE"/>
      <rgbColor rgb="FFDEE6EF"/>
      <rgbColor rgb="FF660066"/>
      <rgbColor rgb="FFE16173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DDE8CB"/>
      <rgbColor rgb="FFFFE994"/>
      <rgbColor rgb="FFAFD095"/>
      <rgbColor rgb="FFEC9BA4"/>
      <rgbColor rgb="FFCC99FF"/>
      <rgbColor rgb="FFF7D1D5"/>
      <rgbColor rgb="FF3366FF"/>
      <rgbColor rgb="FF33CCCC"/>
      <rgbColor rgb="FF99CC00"/>
      <rgbColor rgb="FFFFDE59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odoo/CAISSES_2025.od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ERMETUR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5" activeCellId="0" sqref="A5"/>
    </sheetView>
  </sheetViews>
  <sheetFormatPr defaultColWidth="11.53515625" defaultRowHeight="12.75" customHeight="false" zeroHeight="false" outlineLevelRow="0" outlineLevelCol="0"/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3" t="s">
        <v>2</v>
      </c>
      <c r="G1" s="3"/>
      <c r="H1" s="3"/>
      <c r="I1" s="3"/>
      <c r="J1" s="4" t="s">
        <v>3</v>
      </c>
      <c r="K1" s="4"/>
      <c r="L1" s="4"/>
      <c r="M1" s="4"/>
      <c r="N1" s="5" t="s">
        <v>4</v>
      </c>
      <c r="O1" s="5"/>
      <c r="P1" s="5"/>
      <c r="Q1" s="5"/>
      <c r="R1" s="6"/>
      <c r="S1" s="7"/>
      <c r="T1" s="8"/>
    </row>
    <row r="2" customFormat="false" ht="29.25" hidden="false" customHeight="true" outlineLevel="0" collapsed="false">
      <c r="A2" s="1"/>
      <c r="B2" s="9" t="s">
        <v>5</v>
      </c>
      <c r="C2" s="10" t="s">
        <v>6</v>
      </c>
      <c r="D2" s="10" t="s">
        <v>7</v>
      </c>
      <c r="E2" s="10" t="s">
        <v>8</v>
      </c>
      <c r="F2" s="11" t="s">
        <v>5</v>
      </c>
      <c r="G2" s="12" t="s">
        <v>6</v>
      </c>
      <c r="H2" s="12" t="s">
        <v>7</v>
      </c>
      <c r="I2" s="12" t="s">
        <v>8</v>
      </c>
      <c r="J2" s="13" t="s">
        <v>5</v>
      </c>
      <c r="K2" s="14" t="s">
        <v>6</v>
      </c>
      <c r="L2" s="14" t="s">
        <v>7</v>
      </c>
      <c r="M2" s="15" t="s">
        <v>8</v>
      </c>
      <c r="N2" s="16" t="s">
        <v>5</v>
      </c>
      <c r="O2" s="17" t="s">
        <v>6</v>
      </c>
      <c r="P2" s="17" t="s">
        <v>7</v>
      </c>
      <c r="Q2" s="17" t="s">
        <v>8</v>
      </c>
      <c r="R2" s="8"/>
      <c r="S2" s="8"/>
      <c r="T2" s="8"/>
      <c r="U2" s="8"/>
      <c r="V2" s="8"/>
      <c r="W2" s="8"/>
      <c r="X2" s="8"/>
      <c r="Y2" s="8"/>
    </row>
    <row r="3" customFormat="false" ht="15.75" hidden="false" customHeight="true" outlineLevel="0" collapsed="false">
      <c r="A3" s="18" t="s">
        <v>9</v>
      </c>
      <c r="B3" s="19" t="n">
        <f aca="false">SUM(B5:B100)</f>
        <v>0</v>
      </c>
      <c r="C3" s="19" t="n">
        <f aca="false">SUM(C5:C100)</f>
        <v>0</v>
      </c>
      <c r="D3" s="19" t="n">
        <f aca="false">SUM(D5:D100)</f>
        <v>0</v>
      </c>
      <c r="E3" s="19" t="n">
        <f aca="false">SUM(E5:E100)</f>
        <v>0</v>
      </c>
      <c r="F3" s="20" t="n">
        <f aca="false">SUM(F5:F200)</f>
        <v>0</v>
      </c>
      <c r="G3" s="20" t="n">
        <f aca="false">SUM(G5:G200)</f>
        <v>0</v>
      </c>
      <c r="H3" s="20" t="n">
        <f aca="false">SUM(H5:H200)</f>
        <v>0</v>
      </c>
      <c r="I3" s="20" t="n">
        <f aca="false">SUM(I5:I200)</f>
        <v>0</v>
      </c>
      <c r="J3" s="21" t="n">
        <f aca="false">SUM(J5:J100)</f>
        <v>0</v>
      </c>
      <c r="K3" s="21" t="n">
        <f aca="false">SUM(K5:K100)</f>
        <v>0</v>
      </c>
      <c r="L3" s="21" t="n">
        <f aca="false">SUM(L5:L100)</f>
        <v>0</v>
      </c>
      <c r="M3" s="21" t="n">
        <f aca="false">SUM(M5:M100)</f>
        <v>0</v>
      </c>
      <c r="N3" s="22" t="n">
        <f aca="false">B3+F3+J3</f>
        <v>0</v>
      </c>
      <c r="O3" s="22" t="n">
        <f aca="false">C3+G3+K3</f>
        <v>0</v>
      </c>
      <c r="P3" s="22" t="n">
        <f aca="false">D3+H3+L3</f>
        <v>0</v>
      </c>
      <c r="Q3" s="22" t="n">
        <f aca="false">E3+I3+M3</f>
        <v>0</v>
      </c>
    </row>
    <row r="4" customFormat="false" ht="15.75" hidden="false" customHeight="true" outlineLevel="0" collapsed="false">
      <c r="A4" s="18" t="s">
        <v>10</v>
      </c>
      <c r="B4" s="19" t="n">
        <f aca="false">SUM('EXPORT COMPTA'!C:C)</f>
        <v>0</v>
      </c>
      <c r="C4" s="19" t="n">
        <f aca="false">SUM('EXPORT COMPTA'!F:F)</f>
        <v>0</v>
      </c>
      <c r="D4" s="19" t="n">
        <f aca="false">SUM('EXPORT COMPTA'!G:G)</f>
        <v>0</v>
      </c>
      <c r="E4" s="19" t="n">
        <f aca="false">SUM('EXPORT COMPTA'!H:H)</f>
        <v>0</v>
      </c>
      <c r="F4" s="20" t="n">
        <f aca="false">SUM('EXPORT COMPTA'!I:I)</f>
        <v>0</v>
      </c>
      <c r="G4" s="20" t="n">
        <f aca="false">SUM('EXPORT COMPTA'!L:L)</f>
        <v>0</v>
      </c>
      <c r="H4" s="20" t="n">
        <f aca="false">SUM('EXPORT COMPTA'!M:M)</f>
        <v>0</v>
      </c>
      <c r="I4" s="20" t="n">
        <f aca="false">SUM('EXPORT COMPTA'!N:N)</f>
        <v>0</v>
      </c>
      <c r="J4" s="21" t="n">
        <f aca="false">SUM('EXPORT COMPTA'!O:O)</f>
        <v>0</v>
      </c>
      <c r="K4" s="21" t="n">
        <f aca="false">SUM('EXPORT COMPTA'!R:R)</f>
        <v>0</v>
      </c>
      <c r="L4" s="21" t="n">
        <f aca="false">SUM('EXPORT COMPTA'!S:S)</f>
        <v>0</v>
      </c>
      <c r="M4" s="21" t="n">
        <f aca="false">SUM('EXPORT COMPTA'!T:T)</f>
        <v>0</v>
      </c>
      <c r="N4" s="22" t="n">
        <f aca="false">B4+F4+J4</f>
        <v>0</v>
      </c>
      <c r="O4" s="22" t="n">
        <f aca="false">C4+G4+K4</f>
        <v>0</v>
      </c>
      <c r="P4" s="22" t="n">
        <f aca="false">D4+H4+L4</f>
        <v>0</v>
      </c>
      <c r="Q4" s="22" t="n">
        <f aca="false">E4+I4+M4</f>
        <v>0</v>
      </c>
    </row>
    <row r="5" customFormat="false" ht="15.75" hidden="false" customHeight="true" outlineLevel="0" collapsed="false">
      <c r="A5" s="23" t="s">
        <v>11</v>
      </c>
      <c r="B5" s="24" t="s">
        <v>12</v>
      </c>
      <c r="C5" s="24" t="s">
        <v>13</v>
      </c>
      <c r="D5" s="24" t="s">
        <v>14</v>
      </c>
      <c r="E5" s="24" t="s">
        <v>15</v>
      </c>
      <c r="F5" s="25" t="s">
        <v>16</v>
      </c>
      <c r="G5" s="25" t="s">
        <v>17</v>
      </c>
      <c r="H5" s="25" t="s">
        <v>18</v>
      </c>
      <c r="I5" s="25" t="s">
        <v>19</v>
      </c>
      <c r="J5" s="26" t="s">
        <v>20</v>
      </c>
      <c r="K5" s="26" t="s">
        <v>21</v>
      </c>
      <c r="L5" s="26" t="s">
        <v>22</v>
      </c>
      <c r="M5" s="26" t="s">
        <v>23</v>
      </c>
      <c r="N5" s="27" t="s">
        <v>24</v>
      </c>
      <c r="O5" s="27" t="s">
        <v>25</v>
      </c>
      <c r="P5" s="27" t="s">
        <v>26</v>
      </c>
      <c r="Q5" s="27" t="s">
        <v>27</v>
      </c>
      <c r="R5" s="28"/>
      <c r="S5" s="28"/>
      <c r="T5" s="28"/>
      <c r="U5" s="28"/>
      <c r="V5" s="28"/>
      <c r="W5" s="28"/>
      <c r="X5" s="28"/>
      <c r="Y5" s="28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">
    <mergeCell ref="A1:A2"/>
    <mergeCell ref="B1:E1"/>
    <mergeCell ref="F1:I1"/>
    <mergeCell ref="J1:M1"/>
    <mergeCell ref="N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B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9" activeCellId="0" sqref="B9"/>
    </sheetView>
  </sheetViews>
  <sheetFormatPr defaultColWidth="11.53515625" defaultRowHeight="12.75" customHeight="false" zeroHeight="false" outlineLevelRow="0" outlineLevelCol="0"/>
  <cols>
    <col collapsed="false" customWidth="false" hidden="true" outlineLevel="0" max="1" min="1" style="29" width="11.53"/>
    <col collapsed="false" customWidth="false" hidden="false" outlineLevel="0" max="5" min="2" style="30" width="11.53"/>
    <col collapsed="false" customWidth="false" hidden="false" outlineLevel="0" max="8" min="6" style="31" width="11.53"/>
    <col collapsed="false" customWidth="false" hidden="false" outlineLevel="0" max="15" min="9" style="32" width="11.53"/>
    <col collapsed="false" customWidth="false" hidden="false" outlineLevel="0" max="1016" min="16" style="30" width="11.53"/>
  </cols>
  <sheetData>
    <row r="1" customFormat="false" ht="12.75" hidden="false" customHeight="true" outlineLevel="0" collapsed="false">
      <c r="A1" s="8"/>
      <c r="B1" s="1" t="s">
        <v>28</v>
      </c>
      <c r="C1" s="33" t="s">
        <v>29</v>
      </c>
      <c r="D1" s="33"/>
      <c r="E1" s="33"/>
      <c r="F1" s="33"/>
      <c r="G1" s="33"/>
      <c r="H1" s="33"/>
      <c r="I1" s="34" t="s">
        <v>2</v>
      </c>
      <c r="J1" s="34"/>
      <c r="K1" s="34"/>
      <c r="L1" s="34"/>
      <c r="M1" s="34"/>
      <c r="N1" s="34"/>
      <c r="O1" s="33" t="s">
        <v>3</v>
      </c>
      <c r="P1" s="33"/>
      <c r="Q1" s="33"/>
      <c r="R1" s="33"/>
      <c r="S1" s="33"/>
      <c r="T1" s="33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5"/>
      <c r="JI1" s="35"/>
      <c r="JJ1" s="35"/>
      <c r="JK1" s="35"/>
      <c r="JL1" s="35"/>
      <c r="JM1" s="35"/>
      <c r="JN1" s="35"/>
      <c r="JO1" s="35"/>
      <c r="JP1" s="35"/>
      <c r="JQ1" s="35"/>
      <c r="JR1" s="35"/>
      <c r="JS1" s="35"/>
      <c r="JT1" s="35"/>
      <c r="JU1" s="35"/>
      <c r="JV1" s="35"/>
      <c r="JW1" s="35"/>
      <c r="JX1" s="35"/>
      <c r="JY1" s="35"/>
      <c r="JZ1" s="35"/>
      <c r="KA1" s="35"/>
      <c r="KB1" s="35"/>
      <c r="KC1" s="35"/>
      <c r="KD1" s="35"/>
      <c r="KE1" s="35"/>
      <c r="KF1" s="35"/>
      <c r="KG1" s="35"/>
      <c r="KH1" s="35"/>
      <c r="KI1" s="35"/>
      <c r="KJ1" s="35"/>
      <c r="KK1" s="35"/>
      <c r="KL1" s="35"/>
      <c r="KM1" s="35"/>
      <c r="KN1" s="35"/>
      <c r="KO1" s="35"/>
      <c r="KP1" s="35"/>
      <c r="KQ1" s="35"/>
      <c r="KR1" s="35"/>
      <c r="KS1" s="35"/>
      <c r="KT1" s="35"/>
      <c r="KU1" s="35"/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5"/>
      <c r="LZ1" s="35"/>
      <c r="MA1" s="35"/>
      <c r="MB1" s="35"/>
      <c r="MC1" s="35"/>
      <c r="MD1" s="35"/>
      <c r="ME1" s="35"/>
      <c r="MF1" s="35"/>
      <c r="MG1" s="35"/>
      <c r="MH1" s="35"/>
      <c r="MI1" s="35"/>
      <c r="MJ1" s="35"/>
      <c r="MK1" s="35"/>
      <c r="ML1" s="35"/>
      <c r="MM1" s="35"/>
      <c r="MN1" s="35"/>
      <c r="MO1" s="35"/>
      <c r="MP1" s="35"/>
      <c r="MQ1" s="35"/>
      <c r="MR1" s="35"/>
      <c r="MS1" s="35"/>
      <c r="MT1" s="35"/>
      <c r="MU1" s="35"/>
      <c r="MV1" s="35"/>
      <c r="MW1" s="35"/>
      <c r="MX1" s="35"/>
      <c r="MY1" s="35"/>
      <c r="MZ1" s="35"/>
      <c r="NA1" s="35"/>
      <c r="NB1" s="35"/>
      <c r="NC1" s="35"/>
      <c r="ND1" s="35"/>
      <c r="NE1" s="35"/>
      <c r="NF1" s="35"/>
      <c r="NG1" s="35"/>
      <c r="NH1" s="35"/>
      <c r="NI1" s="35"/>
      <c r="NJ1" s="35"/>
      <c r="NK1" s="35"/>
      <c r="NL1" s="35"/>
      <c r="NM1" s="35"/>
      <c r="NN1" s="35"/>
      <c r="NO1" s="35"/>
      <c r="NP1" s="35"/>
      <c r="NQ1" s="35"/>
      <c r="NR1" s="35"/>
      <c r="NS1" s="35"/>
      <c r="NT1" s="35"/>
      <c r="NU1" s="35"/>
      <c r="NV1" s="35"/>
      <c r="NW1" s="35"/>
      <c r="NX1" s="35"/>
      <c r="NY1" s="35"/>
      <c r="NZ1" s="35"/>
      <c r="OA1" s="35"/>
      <c r="OB1" s="35"/>
      <c r="OC1" s="35"/>
      <c r="OD1" s="35"/>
      <c r="OE1" s="35"/>
      <c r="OF1" s="35"/>
      <c r="OG1" s="35"/>
      <c r="OH1" s="35"/>
      <c r="OI1" s="35"/>
      <c r="OJ1" s="35"/>
      <c r="OK1" s="35"/>
      <c r="OL1" s="35"/>
      <c r="OM1" s="35"/>
      <c r="ON1" s="35"/>
      <c r="OO1" s="35"/>
      <c r="OP1" s="35"/>
      <c r="OQ1" s="35"/>
      <c r="OR1" s="35"/>
      <c r="OS1" s="35"/>
      <c r="OT1" s="35"/>
      <c r="OU1" s="35"/>
      <c r="OV1" s="35"/>
      <c r="OW1" s="35"/>
      <c r="OX1" s="35"/>
      <c r="OY1" s="35"/>
      <c r="OZ1" s="35"/>
      <c r="PA1" s="35"/>
      <c r="PB1" s="35"/>
      <c r="PC1" s="35"/>
      <c r="PD1" s="35"/>
      <c r="PE1" s="35"/>
      <c r="PF1" s="35"/>
      <c r="PG1" s="35"/>
      <c r="PH1" s="35"/>
      <c r="PI1" s="35"/>
      <c r="PJ1" s="35"/>
      <c r="PK1" s="35"/>
      <c r="PL1" s="35"/>
      <c r="PM1" s="35"/>
      <c r="PN1" s="35"/>
      <c r="PO1" s="35"/>
      <c r="PP1" s="35"/>
      <c r="PQ1" s="35"/>
      <c r="PR1" s="35"/>
      <c r="PS1" s="35"/>
      <c r="PT1" s="35"/>
      <c r="PU1" s="35"/>
      <c r="PV1" s="35"/>
      <c r="PW1" s="35"/>
      <c r="PX1" s="35"/>
      <c r="PY1" s="35"/>
      <c r="PZ1" s="35"/>
      <c r="QA1" s="35"/>
      <c r="QB1" s="35"/>
      <c r="QC1" s="35"/>
      <c r="QD1" s="35"/>
      <c r="QE1" s="35"/>
      <c r="QF1" s="35"/>
      <c r="QG1" s="35"/>
      <c r="QH1" s="35"/>
      <c r="QI1" s="35"/>
      <c r="QJ1" s="35"/>
      <c r="QK1" s="35"/>
      <c r="QL1" s="35"/>
      <c r="QM1" s="35"/>
      <c r="QN1" s="35"/>
      <c r="QO1" s="35"/>
      <c r="QP1" s="35"/>
      <c r="QQ1" s="35"/>
      <c r="QR1" s="35"/>
      <c r="QS1" s="35"/>
      <c r="QT1" s="35"/>
      <c r="QU1" s="35"/>
      <c r="QV1" s="35"/>
      <c r="QW1" s="35"/>
      <c r="QX1" s="35"/>
      <c r="QY1" s="35"/>
      <c r="QZ1" s="35"/>
      <c r="RA1" s="35"/>
      <c r="RB1" s="35"/>
      <c r="RC1" s="35"/>
      <c r="RD1" s="35"/>
      <c r="RE1" s="35"/>
      <c r="RF1" s="35"/>
      <c r="RG1" s="35"/>
      <c r="RH1" s="35"/>
      <c r="RI1" s="35"/>
      <c r="RJ1" s="35"/>
      <c r="RK1" s="35"/>
      <c r="RL1" s="35"/>
      <c r="RM1" s="35"/>
      <c r="RN1" s="35"/>
      <c r="RO1" s="35"/>
      <c r="RP1" s="35"/>
      <c r="RQ1" s="35"/>
      <c r="RR1" s="35"/>
      <c r="RS1" s="35"/>
      <c r="RT1" s="35"/>
      <c r="RU1" s="35"/>
      <c r="RV1" s="35"/>
      <c r="RW1" s="35"/>
      <c r="RX1" s="35"/>
      <c r="RY1" s="35"/>
      <c r="RZ1" s="35"/>
      <c r="SA1" s="35"/>
      <c r="SB1" s="35"/>
      <c r="SC1" s="35"/>
      <c r="SD1" s="35"/>
      <c r="SE1" s="35"/>
      <c r="SF1" s="35"/>
      <c r="SG1" s="35"/>
      <c r="SH1" s="35"/>
      <c r="SI1" s="35"/>
      <c r="SJ1" s="35"/>
      <c r="SK1" s="35"/>
      <c r="SL1" s="35"/>
      <c r="SM1" s="35"/>
      <c r="SN1" s="35"/>
      <c r="SO1" s="35"/>
      <c r="SP1" s="35"/>
      <c r="SQ1" s="35"/>
      <c r="SR1" s="35"/>
      <c r="SS1" s="35"/>
      <c r="ST1" s="35"/>
      <c r="SU1" s="35"/>
      <c r="SV1" s="35"/>
      <c r="SW1" s="35"/>
      <c r="SX1" s="35"/>
      <c r="SY1" s="35"/>
      <c r="SZ1" s="35"/>
      <c r="TA1" s="35"/>
      <c r="TB1" s="35"/>
      <c r="TC1" s="35"/>
      <c r="TD1" s="35"/>
      <c r="TE1" s="35"/>
      <c r="TF1" s="35"/>
      <c r="TG1" s="35"/>
      <c r="TH1" s="35"/>
      <c r="TI1" s="35"/>
      <c r="TJ1" s="35"/>
      <c r="TK1" s="35"/>
      <c r="TL1" s="35"/>
      <c r="TM1" s="35"/>
      <c r="TN1" s="35"/>
      <c r="TO1" s="35"/>
      <c r="TP1" s="35"/>
      <c r="TQ1" s="35"/>
      <c r="TR1" s="35"/>
      <c r="TS1" s="35"/>
      <c r="TT1" s="35"/>
      <c r="TU1" s="35"/>
      <c r="TV1" s="35"/>
      <c r="TW1" s="35"/>
      <c r="TX1" s="35"/>
      <c r="TY1" s="35"/>
      <c r="TZ1" s="35"/>
      <c r="UA1" s="35"/>
      <c r="UB1" s="35"/>
      <c r="UC1" s="35"/>
      <c r="UD1" s="35"/>
      <c r="UE1" s="35"/>
      <c r="UF1" s="35"/>
      <c r="UG1" s="35"/>
      <c r="UH1" s="35"/>
      <c r="UI1" s="35"/>
      <c r="UJ1" s="35"/>
      <c r="UK1" s="35"/>
      <c r="UL1" s="35"/>
      <c r="UM1" s="35"/>
      <c r="UN1" s="35"/>
      <c r="UO1" s="35"/>
      <c r="UP1" s="35"/>
      <c r="UQ1" s="35"/>
      <c r="UR1" s="35"/>
      <c r="US1" s="35"/>
      <c r="UT1" s="35"/>
      <c r="UU1" s="35"/>
      <c r="UV1" s="35"/>
      <c r="UW1" s="35"/>
      <c r="UX1" s="35"/>
      <c r="UY1" s="35"/>
      <c r="UZ1" s="35"/>
      <c r="VA1" s="35"/>
      <c r="VB1" s="35"/>
      <c r="VC1" s="35"/>
      <c r="VD1" s="35"/>
      <c r="VE1" s="35"/>
      <c r="VF1" s="35"/>
      <c r="VG1" s="35"/>
      <c r="VH1" s="35"/>
      <c r="VI1" s="35"/>
      <c r="VJ1" s="35"/>
      <c r="VK1" s="35"/>
      <c r="VL1" s="35"/>
      <c r="VM1" s="35"/>
      <c r="VN1" s="35"/>
      <c r="VO1" s="35"/>
      <c r="VP1" s="35"/>
      <c r="VQ1" s="35"/>
      <c r="VR1" s="35"/>
      <c r="VS1" s="35"/>
      <c r="VT1" s="35"/>
      <c r="VU1" s="35"/>
      <c r="VV1" s="35"/>
      <c r="VW1" s="35"/>
      <c r="VX1" s="35"/>
      <c r="VY1" s="35"/>
      <c r="VZ1" s="35"/>
      <c r="WA1" s="35"/>
      <c r="WB1" s="35"/>
      <c r="WC1" s="35"/>
      <c r="WD1" s="35"/>
      <c r="WE1" s="35"/>
      <c r="WF1" s="35"/>
      <c r="WG1" s="35"/>
      <c r="WH1" s="35"/>
      <c r="WI1" s="35"/>
      <c r="WJ1" s="35"/>
      <c r="WK1" s="35"/>
      <c r="WL1" s="35"/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5"/>
      <c r="XD1" s="35"/>
      <c r="XE1" s="35"/>
      <c r="XF1" s="35"/>
      <c r="XG1" s="35"/>
      <c r="XH1" s="35"/>
      <c r="XI1" s="35"/>
      <c r="XJ1" s="35"/>
      <c r="XK1" s="35"/>
      <c r="XL1" s="35"/>
      <c r="XM1" s="35"/>
      <c r="XN1" s="35"/>
      <c r="XO1" s="35"/>
      <c r="XP1" s="35"/>
      <c r="XQ1" s="35"/>
      <c r="XR1" s="35"/>
      <c r="XS1" s="35"/>
      <c r="XT1" s="35"/>
      <c r="XU1" s="35"/>
      <c r="XV1" s="35"/>
      <c r="XW1" s="35"/>
      <c r="XX1" s="35"/>
      <c r="XY1" s="35"/>
      <c r="XZ1" s="35"/>
      <c r="YA1" s="35"/>
      <c r="YB1" s="35"/>
      <c r="YC1" s="35"/>
      <c r="YD1" s="35"/>
      <c r="YE1" s="35"/>
      <c r="YF1" s="35"/>
      <c r="YG1" s="35"/>
      <c r="YH1" s="35"/>
      <c r="YI1" s="35"/>
      <c r="YJ1" s="35"/>
      <c r="YK1" s="35"/>
      <c r="YL1" s="35"/>
      <c r="YM1" s="35"/>
      <c r="YN1" s="35"/>
      <c r="YO1" s="35"/>
      <c r="YP1" s="35"/>
      <c r="YQ1" s="35"/>
      <c r="YR1" s="35"/>
      <c r="YS1" s="35"/>
      <c r="YT1" s="35"/>
      <c r="YU1" s="35"/>
      <c r="YV1" s="35"/>
      <c r="YW1" s="35"/>
      <c r="YX1" s="35"/>
      <c r="YY1" s="35"/>
      <c r="YZ1" s="35"/>
      <c r="ZA1" s="35"/>
      <c r="ZB1" s="35"/>
      <c r="ZC1" s="35"/>
      <c r="ZD1" s="35"/>
      <c r="ZE1" s="35"/>
      <c r="ZF1" s="35"/>
      <c r="ZG1" s="35"/>
      <c r="ZH1" s="35"/>
      <c r="ZI1" s="35"/>
      <c r="ZJ1" s="35"/>
      <c r="ZK1" s="35"/>
      <c r="ZL1" s="35"/>
      <c r="ZM1" s="35"/>
      <c r="ZN1" s="35"/>
      <c r="ZO1" s="35"/>
      <c r="ZP1" s="35"/>
      <c r="ZQ1" s="35"/>
      <c r="ZR1" s="35"/>
      <c r="ZS1" s="35"/>
      <c r="ZT1" s="35"/>
      <c r="ZU1" s="35"/>
      <c r="ZV1" s="35"/>
      <c r="ZW1" s="35"/>
      <c r="ZX1" s="35"/>
      <c r="ZY1" s="35"/>
      <c r="ZZ1" s="35"/>
      <c r="AAA1" s="35"/>
      <c r="AAB1" s="35"/>
      <c r="AAC1" s="35"/>
      <c r="AAD1" s="35"/>
      <c r="AAE1" s="35"/>
      <c r="AAF1" s="35"/>
      <c r="AAG1" s="35"/>
      <c r="AAH1" s="35"/>
      <c r="AAI1" s="35"/>
      <c r="AAJ1" s="35"/>
      <c r="AAK1" s="35"/>
      <c r="AAL1" s="35"/>
      <c r="AAM1" s="35"/>
      <c r="AAN1" s="35"/>
      <c r="AAO1" s="35"/>
      <c r="AAP1" s="35"/>
      <c r="AAQ1" s="35"/>
      <c r="AAR1" s="35"/>
      <c r="AAS1" s="35"/>
      <c r="AAT1" s="35"/>
      <c r="AAU1" s="35"/>
      <c r="AAV1" s="35"/>
      <c r="AAW1" s="35"/>
      <c r="AAX1" s="35"/>
      <c r="AAY1" s="35"/>
      <c r="AAZ1" s="35"/>
      <c r="ABA1" s="35"/>
      <c r="ABB1" s="35"/>
      <c r="ABC1" s="35"/>
      <c r="ABD1" s="35"/>
      <c r="ABE1" s="35"/>
      <c r="ABF1" s="35"/>
      <c r="ABG1" s="35"/>
      <c r="ABH1" s="35"/>
      <c r="ABI1" s="35"/>
      <c r="ABJ1" s="35"/>
      <c r="ABK1" s="35"/>
      <c r="ABL1" s="35"/>
      <c r="ABM1" s="35"/>
      <c r="ABN1" s="35"/>
      <c r="ABO1" s="35"/>
      <c r="ABP1" s="35"/>
      <c r="ABQ1" s="35"/>
      <c r="ABR1" s="35"/>
      <c r="ABS1" s="35"/>
      <c r="ABT1" s="35"/>
      <c r="ABU1" s="35"/>
      <c r="ABV1" s="35"/>
      <c r="ABW1" s="35"/>
      <c r="ABX1" s="35"/>
      <c r="ABY1" s="35"/>
      <c r="ABZ1" s="35"/>
      <c r="ACA1" s="35"/>
      <c r="ACB1" s="35"/>
      <c r="ACC1" s="35"/>
      <c r="ACD1" s="35"/>
      <c r="ACE1" s="35"/>
      <c r="ACF1" s="35"/>
      <c r="ACG1" s="35"/>
      <c r="ACH1" s="35"/>
      <c r="ACI1" s="35"/>
      <c r="ACJ1" s="35"/>
      <c r="ACK1" s="35"/>
      <c r="ACL1" s="35"/>
      <c r="ACM1" s="35"/>
      <c r="ACN1" s="35"/>
      <c r="ACO1" s="35"/>
      <c r="ACP1" s="35"/>
      <c r="ACQ1" s="35"/>
      <c r="ACR1" s="35"/>
      <c r="ACS1" s="35"/>
      <c r="ACT1" s="35"/>
      <c r="ACU1" s="35"/>
      <c r="ACV1" s="35"/>
      <c r="ACW1" s="35"/>
      <c r="ACX1" s="35"/>
      <c r="ACY1" s="35"/>
      <c r="ACZ1" s="35"/>
      <c r="ADA1" s="35"/>
      <c r="ADB1" s="35"/>
      <c r="ADC1" s="35"/>
      <c r="ADD1" s="35"/>
      <c r="ADE1" s="35"/>
      <c r="ADF1" s="35"/>
      <c r="ADG1" s="35"/>
      <c r="ADH1" s="35"/>
      <c r="ADI1" s="35"/>
      <c r="ADJ1" s="35"/>
      <c r="ADK1" s="35"/>
      <c r="ADL1" s="35"/>
      <c r="ADM1" s="35"/>
      <c r="ADN1" s="35"/>
      <c r="ADO1" s="35"/>
      <c r="ADP1" s="35"/>
      <c r="ADQ1" s="35"/>
      <c r="ADR1" s="35"/>
      <c r="ADS1" s="35"/>
      <c r="ADT1" s="35"/>
      <c r="ADU1" s="35"/>
      <c r="ADV1" s="35"/>
      <c r="ADW1" s="35"/>
      <c r="ADX1" s="35"/>
      <c r="ADY1" s="35"/>
      <c r="ADZ1" s="35"/>
      <c r="AEA1" s="35"/>
      <c r="AEB1" s="35"/>
      <c r="AEC1" s="35"/>
      <c r="AED1" s="35"/>
      <c r="AEE1" s="35"/>
      <c r="AEF1" s="35"/>
      <c r="AEG1" s="35"/>
      <c r="AEH1" s="35"/>
      <c r="AEI1" s="35"/>
      <c r="AEJ1" s="35"/>
      <c r="AEK1" s="35"/>
      <c r="AEL1" s="35"/>
      <c r="AEM1" s="35"/>
      <c r="AEN1" s="35"/>
      <c r="AEO1" s="35"/>
      <c r="AEP1" s="35"/>
      <c r="AEQ1" s="35"/>
      <c r="AER1" s="35"/>
      <c r="AES1" s="35"/>
      <c r="AET1" s="35"/>
      <c r="AEU1" s="35"/>
      <c r="AEV1" s="35"/>
      <c r="AEW1" s="35"/>
      <c r="AEX1" s="35"/>
      <c r="AEY1" s="35"/>
      <c r="AEZ1" s="35"/>
      <c r="AFA1" s="35"/>
      <c r="AFB1" s="35"/>
      <c r="AFC1" s="35"/>
      <c r="AFD1" s="35"/>
      <c r="AFE1" s="35"/>
      <c r="AFF1" s="35"/>
      <c r="AFG1" s="35"/>
      <c r="AFH1" s="35"/>
      <c r="AFI1" s="35"/>
      <c r="AFJ1" s="35"/>
      <c r="AFK1" s="35"/>
      <c r="AFL1" s="35"/>
      <c r="AFM1" s="35"/>
      <c r="AFN1" s="35"/>
      <c r="AFO1" s="35"/>
      <c r="AFP1" s="35"/>
      <c r="AFQ1" s="35"/>
      <c r="AFR1" s="35"/>
      <c r="AFS1" s="35"/>
      <c r="AFT1" s="35"/>
      <c r="AFU1" s="35"/>
      <c r="AFV1" s="35"/>
      <c r="AFW1" s="35"/>
      <c r="AFX1" s="35"/>
      <c r="AFY1" s="35"/>
      <c r="AFZ1" s="35"/>
      <c r="AGA1" s="35"/>
      <c r="AGB1" s="35"/>
      <c r="AGC1" s="35"/>
      <c r="AGD1" s="35"/>
      <c r="AGE1" s="35"/>
      <c r="AGF1" s="35"/>
      <c r="AGG1" s="35"/>
      <c r="AGH1" s="35"/>
      <c r="AGI1" s="35"/>
      <c r="AGJ1" s="35"/>
      <c r="AGK1" s="35"/>
      <c r="AGL1" s="35"/>
      <c r="AGM1" s="35"/>
      <c r="AGN1" s="35"/>
      <c r="AGO1" s="35"/>
      <c r="AGP1" s="35"/>
      <c r="AGQ1" s="35"/>
      <c r="AGR1" s="35"/>
      <c r="AGS1" s="35"/>
      <c r="AGT1" s="35"/>
      <c r="AGU1" s="35"/>
      <c r="AGV1" s="35"/>
      <c r="AGW1" s="35"/>
      <c r="AGX1" s="35"/>
      <c r="AGY1" s="35"/>
      <c r="AGZ1" s="35"/>
      <c r="AHA1" s="35"/>
      <c r="AHB1" s="35"/>
      <c r="AHC1" s="35"/>
      <c r="AHD1" s="35"/>
      <c r="AHE1" s="35"/>
      <c r="AHF1" s="35"/>
      <c r="AHG1" s="35"/>
      <c r="AHH1" s="35"/>
      <c r="AHI1" s="35"/>
      <c r="AHJ1" s="35"/>
      <c r="AHK1" s="35"/>
      <c r="AHL1" s="35"/>
      <c r="AHM1" s="35"/>
      <c r="AHN1" s="35"/>
      <c r="AHO1" s="35"/>
      <c r="AHP1" s="35"/>
      <c r="AHQ1" s="35"/>
      <c r="AHR1" s="35"/>
      <c r="AHS1" s="35"/>
      <c r="AHT1" s="35"/>
      <c r="AHU1" s="35"/>
      <c r="AHV1" s="35"/>
      <c r="AHW1" s="35"/>
      <c r="AHX1" s="35"/>
      <c r="AHY1" s="35"/>
      <c r="AHZ1" s="35"/>
      <c r="AIA1" s="35"/>
      <c r="AIB1" s="35"/>
      <c r="AIC1" s="35"/>
      <c r="AID1" s="35"/>
      <c r="AIE1" s="35"/>
      <c r="AIF1" s="35"/>
      <c r="AIG1" s="35"/>
      <c r="AIH1" s="35"/>
      <c r="AII1" s="35"/>
      <c r="AIJ1" s="35"/>
      <c r="AIK1" s="35"/>
      <c r="AIL1" s="35"/>
      <c r="AIM1" s="35"/>
      <c r="AIN1" s="35"/>
      <c r="AIO1" s="35"/>
      <c r="AIP1" s="35"/>
      <c r="AIQ1" s="35"/>
      <c r="AIR1" s="35"/>
      <c r="AIS1" s="35"/>
      <c r="AIT1" s="35"/>
      <c r="AIU1" s="35"/>
      <c r="AIV1" s="35"/>
      <c r="AIW1" s="35"/>
      <c r="AIX1" s="35"/>
      <c r="AIY1" s="35"/>
      <c r="AIZ1" s="35"/>
      <c r="AJA1" s="35"/>
      <c r="AJB1" s="35"/>
      <c r="AJC1" s="35"/>
      <c r="AJD1" s="35"/>
      <c r="AJE1" s="35"/>
      <c r="AJF1" s="35"/>
      <c r="AJG1" s="35"/>
      <c r="AJH1" s="35"/>
      <c r="AJI1" s="35"/>
      <c r="AJJ1" s="35"/>
      <c r="AJK1" s="35"/>
      <c r="AJL1" s="35"/>
      <c r="AJM1" s="35"/>
      <c r="AJN1" s="35"/>
      <c r="AJO1" s="35"/>
      <c r="AJP1" s="35"/>
      <c r="AJQ1" s="35"/>
      <c r="AJR1" s="35"/>
      <c r="AJS1" s="35"/>
      <c r="AJT1" s="35"/>
      <c r="AJU1" s="35"/>
      <c r="AJV1" s="35"/>
      <c r="AJW1" s="35"/>
      <c r="AJX1" s="35"/>
      <c r="AJY1" s="35"/>
      <c r="AJZ1" s="35"/>
      <c r="AKA1" s="35"/>
      <c r="AKB1" s="35"/>
      <c r="AKC1" s="35"/>
      <c r="AKD1" s="35"/>
      <c r="AKE1" s="35"/>
      <c r="AKF1" s="35"/>
      <c r="AKG1" s="35"/>
      <c r="AKH1" s="35"/>
      <c r="AKI1" s="35"/>
      <c r="AKJ1" s="35"/>
      <c r="AKK1" s="35"/>
      <c r="AKL1" s="35"/>
      <c r="AKM1" s="35"/>
      <c r="AKN1" s="35"/>
      <c r="AKO1" s="35"/>
      <c r="AKP1" s="35"/>
      <c r="AKQ1" s="35"/>
      <c r="AKR1" s="35"/>
      <c r="AKS1" s="35"/>
      <c r="AKT1" s="35"/>
      <c r="AKU1" s="35"/>
      <c r="AKV1" s="35"/>
      <c r="AKW1" s="35"/>
      <c r="AKX1" s="35"/>
      <c r="AKY1" s="35"/>
      <c r="AKZ1" s="35"/>
      <c r="ALA1" s="35"/>
      <c r="ALB1" s="35"/>
      <c r="ALC1" s="35"/>
      <c r="ALD1" s="35"/>
      <c r="ALE1" s="35"/>
      <c r="ALF1" s="35"/>
      <c r="ALG1" s="35"/>
      <c r="ALH1" s="35"/>
      <c r="ALI1" s="35"/>
      <c r="ALJ1" s="35"/>
      <c r="ALK1" s="35"/>
      <c r="ALL1" s="35"/>
      <c r="ALM1" s="35"/>
      <c r="ALN1" s="35"/>
      <c r="ALO1" s="35"/>
      <c r="ALP1" s="35"/>
      <c r="ALQ1" s="35"/>
      <c r="ALR1" s="35"/>
      <c r="ALS1" s="35"/>
      <c r="ALT1" s="35"/>
      <c r="ALU1" s="35"/>
      <c r="ALV1" s="35"/>
      <c r="ALW1" s="35"/>
      <c r="ALX1" s="35"/>
      <c r="ALY1" s="35"/>
      <c r="ALZ1" s="35"/>
      <c r="AMA1" s="35"/>
      <c r="AMB1" s="35"/>
    </row>
    <row r="2" customFormat="false" ht="12.75" hidden="false" customHeight="true" outlineLevel="0" collapsed="false">
      <c r="A2" s="8"/>
      <c r="B2" s="1"/>
      <c r="C2" s="36" t="s">
        <v>5</v>
      </c>
      <c r="D2" s="36" t="s">
        <v>30</v>
      </c>
      <c r="E2" s="36" t="s">
        <v>31</v>
      </c>
      <c r="F2" s="37" t="s">
        <v>6</v>
      </c>
      <c r="G2" s="37" t="s">
        <v>7</v>
      </c>
      <c r="H2" s="37" t="s">
        <v>8</v>
      </c>
      <c r="I2" s="33" t="s">
        <v>5</v>
      </c>
      <c r="J2" s="33" t="s">
        <v>30</v>
      </c>
      <c r="K2" s="33" t="s">
        <v>31</v>
      </c>
      <c r="L2" s="38" t="s">
        <v>6</v>
      </c>
      <c r="M2" s="38" t="s">
        <v>7</v>
      </c>
      <c r="N2" s="38" t="s">
        <v>8</v>
      </c>
      <c r="O2" s="36" t="s">
        <v>5</v>
      </c>
      <c r="P2" s="36" t="s">
        <v>30</v>
      </c>
      <c r="Q2" s="36" t="s">
        <v>31</v>
      </c>
      <c r="R2" s="37" t="s">
        <v>6</v>
      </c>
      <c r="S2" s="37" t="s">
        <v>7</v>
      </c>
      <c r="T2" s="37" t="s">
        <v>8</v>
      </c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  <c r="II2" s="35"/>
      <c r="IJ2" s="35"/>
      <c r="IK2" s="35"/>
      <c r="IL2" s="35"/>
      <c r="IM2" s="35"/>
      <c r="IN2" s="35"/>
      <c r="IO2" s="35"/>
      <c r="IP2" s="35"/>
      <c r="IQ2" s="35"/>
      <c r="IR2" s="35"/>
      <c r="IS2" s="35"/>
      <c r="IT2" s="35"/>
      <c r="IU2" s="35"/>
      <c r="IV2" s="35"/>
      <c r="IW2" s="35"/>
      <c r="IX2" s="35"/>
      <c r="IY2" s="35"/>
      <c r="IZ2" s="35"/>
      <c r="JA2" s="35"/>
      <c r="JB2" s="35"/>
      <c r="JC2" s="35"/>
      <c r="JD2" s="35"/>
      <c r="JE2" s="35"/>
      <c r="JF2" s="35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  <c r="JS2" s="35"/>
      <c r="JT2" s="35"/>
      <c r="JU2" s="35"/>
      <c r="JV2" s="35"/>
      <c r="JW2" s="35"/>
      <c r="JX2" s="35"/>
      <c r="JY2" s="35"/>
      <c r="JZ2" s="35"/>
      <c r="KA2" s="35"/>
      <c r="KB2" s="35"/>
      <c r="KC2" s="35"/>
      <c r="KD2" s="35"/>
      <c r="KE2" s="35"/>
      <c r="KF2" s="35"/>
      <c r="KG2" s="35"/>
      <c r="KH2" s="35"/>
      <c r="KI2" s="35"/>
      <c r="KJ2" s="35"/>
      <c r="KK2" s="35"/>
      <c r="KL2" s="35"/>
      <c r="KM2" s="35"/>
      <c r="KN2" s="35"/>
      <c r="KO2" s="35"/>
      <c r="KP2" s="35"/>
      <c r="KQ2" s="35"/>
      <c r="KR2" s="35"/>
      <c r="KS2" s="35"/>
      <c r="KT2" s="35"/>
      <c r="KU2" s="35"/>
      <c r="KV2" s="35"/>
      <c r="KW2" s="35"/>
      <c r="KX2" s="35"/>
      <c r="KY2" s="35"/>
      <c r="KZ2" s="35"/>
      <c r="LA2" s="35"/>
      <c r="LB2" s="35"/>
      <c r="LC2" s="35"/>
      <c r="LD2" s="35"/>
      <c r="LE2" s="35"/>
      <c r="LF2" s="35"/>
      <c r="LG2" s="35"/>
      <c r="LH2" s="35"/>
      <c r="LI2" s="35"/>
      <c r="LJ2" s="35"/>
      <c r="LK2" s="35"/>
      <c r="LL2" s="35"/>
      <c r="LM2" s="35"/>
      <c r="LN2" s="35"/>
      <c r="LO2" s="35"/>
      <c r="LP2" s="35"/>
      <c r="LQ2" s="35"/>
      <c r="LR2" s="35"/>
      <c r="LS2" s="35"/>
      <c r="LT2" s="35"/>
      <c r="LU2" s="35"/>
      <c r="LV2" s="35"/>
      <c r="LW2" s="35"/>
      <c r="LX2" s="35"/>
      <c r="LY2" s="35"/>
      <c r="LZ2" s="35"/>
      <c r="MA2" s="35"/>
      <c r="MB2" s="35"/>
      <c r="MC2" s="35"/>
      <c r="MD2" s="35"/>
      <c r="ME2" s="35"/>
      <c r="MF2" s="35"/>
      <c r="MG2" s="35"/>
      <c r="MH2" s="35"/>
      <c r="MI2" s="35"/>
      <c r="MJ2" s="35"/>
      <c r="MK2" s="35"/>
      <c r="ML2" s="35"/>
      <c r="MM2" s="35"/>
      <c r="MN2" s="35"/>
      <c r="MO2" s="35"/>
      <c r="MP2" s="35"/>
      <c r="MQ2" s="35"/>
      <c r="MR2" s="35"/>
      <c r="MS2" s="35"/>
      <c r="MT2" s="35"/>
      <c r="MU2" s="35"/>
      <c r="MV2" s="35"/>
      <c r="MW2" s="35"/>
      <c r="MX2" s="35"/>
      <c r="MY2" s="35"/>
      <c r="MZ2" s="35"/>
      <c r="NA2" s="35"/>
      <c r="NB2" s="35"/>
      <c r="NC2" s="35"/>
      <c r="ND2" s="35"/>
      <c r="NE2" s="35"/>
      <c r="NF2" s="35"/>
      <c r="NG2" s="35"/>
      <c r="NH2" s="35"/>
      <c r="NI2" s="35"/>
      <c r="NJ2" s="35"/>
      <c r="NK2" s="35"/>
      <c r="NL2" s="35"/>
      <c r="NM2" s="35"/>
      <c r="NN2" s="35"/>
      <c r="NO2" s="35"/>
      <c r="NP2" s="35"/>
      <c r="NQ2" s="35"/>
      <c r="NR2" s="35"/>
      <c r="NS2" s="35"/>
      <c r="NT2" s="35"/>
      <c r="NU2" s="35"/>
      <c r="NV2" s="35"/>
      <c r="NW2" s="35"/>
      <c r="NX2" s="35"/>
      <c r="NY2" s="35"/>
      <c r="NZ2" s="35"/>
      <c r="OA2" s="35"/>
      <c r="OB2" s="35"/>
      <c r="OC2" s="35"/>
      <c r="OD2" s="35"/>
      <c r="OE2" s="35"/>
      <c r="OF2" s="35"/>
      <c r="OG2" s="35"/>
      <c r="OH2" s="35"/>
      <c r="OI2" s="35"/>
      <c r="OJ2" s="35"/>
      <c r="OK2" s="35"/>
      <c r="OL2" s="35"/>
      <c r="OM2" s="35"/>
      <c r="ON2" s="35"/>
      <c r="OO2" s="35"/>
      <c r="OP2" s="35"/>
      <c r="OQ2" s="35"/>
      <c r="OR2" s="35"/>
      <c r="OS2" s="35"/>
      <c r="OT2" s="35"/>
      <c r="OU2" s="35"/>
      <c r="OV2" s="35"/>
      <c r="OW2" s="35"/>
      <c r="OX2" s="35"/>
      <c r="OY2" s="35"/>
      <c r="OZ2" s="35"/>
      <c r="PA2" s="35"/>
      <c r="PB2" s="35"/>
      <c r="PC2" s="35"/>
      <c r="PD2" s="35"/>
      <c r="PE2" s="35"/>
      <c r="PF2" s="35"/>
      <c r="PG2" s="35"/>
      <c r="PH2" s="35"/>
      <c r="PI2" s="35"/>
      <c r="PJ2" s="35"/>
      <c r="PK2" s="35"/>
      <c r="PL2" s="35"/>
      <c r="PM2" s="35"/>
      <c r="PN2" s="35"/>
      <c r="PO2" s="35"/>
      <c r="PP2" s="35"/>
      <c r="PQ2" s="35"/>
      <c r="PR2" s="35"/>
      <c r="PS2" s="35"/>
      <c r="PT2" s="35"/>
      <c r="PU2" s="35"/>
      <c r="PV2" s="35"/>
      <c r="PW2" s="35"/>
      <c r="PX2" s="35"/>
      <c r="PY2" s="35"/>
      <c r="PZ2" s="35"/>
      <c r="QA2" s="35"/>
      <c r="QB2" s="35"/>
      <c r="QC2" s="35"/>
      <c r="QD2" s="35"/>
      <c r="QE2" s="35"/>
      <c r="QF2" s="35"/>
      <c r="QG2" s="35"/>
      <c r="QH2" s="35"/>
      <c r="QI2" s="35"/>
      <c r="QJ2" s="35"/>
      <c r="QK2" s="35"/>
      <c r="QL2" s="35"/>
      <c r="QM2" s="35"/>
      <c r="QN2" s="35"/>
      <c r="QO2" s="35"/>
      <c r="QP2" s="35"/>
      <c r="QQ2" s="35"/>
      <c r="QR2" s="35"/>
      <c r="QS2" s="35"/>
      <c r="QT2" s="35"/>
      <c r="QU2" s="35"/>
      <c r="QV2" s="35"/>
      <c r="QW2" s="35"/>
      <c r="QX2" s="35"/>
      <c r="QY2" s="35"/>
      <c r="QZ2" s="35"/>
      <c r="RA2" s="35"/>
      <c r="RB2" s="35"/>
      <c r="RC2" s="35"/>
      <c r="RD2" s="35"/>
      <c r="RE2" s="35"/>
      <c r="RF2" s="35"/>
      <c r="RG2" s="35"/>
      <c r="RH2" s="35"/>
      <c r="RI2" s="35"/>
      <c r="RJ2" s="35"/>
      <c r="RK2" s="35"/>
      <c r="RL2" s="35"/>
      <c r="RM2" s="35"/>
      <c r="RN2" s="35"/>
      <c r="RO2" s="35"/>
      <c r="RP2" s="35"/>
      <c r="RQ2" s="35"/>
      <c r="RR2" s="35"/>
      <c r="RS2" s="35"/>
      <c r="RT2" s="35"/>
      <c r="RU2" s="35"/>
      <c r="RV2" s="35"/>
      <c r="RW2" s="35"/>
      <c r="RX2" s="35"/>
      <c r="RY2" s="35"/>
      <c r="RZ2" s="35"/>
      <c r="SA2" s="35"/>
      <c r="SB2" s="35"/>
      <c r="SC2" s="35"/>
      <c r="SD2" s="35"/>
      <c r="SE2" s="35"/>
      <c r="SF2" s="35"/>
      <c r="SG2" s="35"/>
      <c r="SH2" s="35"/>
      <c r="SI2" s="35"/>
      <c r="SJ2" s="35"/>
      <c r="SK2" s="35"/>
      <c r="SL2" s="35"/>
      <c r="SM2" s="35"/>
      <c r="SN2" s="35"/>
      <c r="SO2" s="35"/>
      <c r="SP2" s="35"/>
      <c r="SQ2" s="35"/>
      <c r="SR2" s="35"/>
      <c r="SS2" s="35"/>
      <c r="ST2" s="35"/>
      <c r="SU2" s="35"/>
      <c r="SV2" s="35"/>
      <c r="SW2" s="35"/>
      <c r="SX2" s="35"/>
      <c r="SY2" s="35"/>
      <c r="SZ2" s="35"/>
      <c r="TA2" s="35"/>
      <c r="TB2" s="35"/>
      <c r="TC2" s="35"/>
      <c r="TD2" s="35"/>
      <c r="TE2" s="35"/>
      <c r="TF2" s="35"/>
      <c r="TG2" s="35"/>
      <c r="TH2" s="35"/>
      <c r="TI2" s="35"/>
      <c r="TJ2" s="35"/>
      <c r="TK2" s="35"/>
      <c r="TL2" s="35"/>
      <c r="TM2" s="35"/>
      <c r="TN2" s="35"/>
      <c r="TO2" s="35"/>
      <c r="TP2" s="35"/>
      <c r="TQ2" s="35"/>
      <c r="TR2" s="35"/>
      <c r="TS2" s="35"/>
      <c r="TT2" s="35"/>
      <c r="TU2" s="35"/>
      <c r="TV2" s="35"/>
      <c r="TW2" s="35"/>
      <c r="TX2" s="35"/>
      <c r="TY2" s="35"/>
      <c r="TZ2" s="35"/>
      <c r="UA2" s="35"/>
      <c r="UB2" s="35"/>
      <c r="UC2" s="35"/>
      <c r="UD2" s="35"/>
      <c r="UE2" s="35"/>
      <c r="UF2" s="35"/>
      <c r="UG2" s="35"/>
      <c r="UH2" s="35"/>
      <c r="UI2" s="35"/>
      <c r="UJ2" s="35"/>
      <c r="UK2" s="35"/>
      <c r="UL2" s="35"/>
      <c r="UM2" s="35"/>
      <c r="UN2" s="35"/>
      <c r="UO2" s="35"/>
      <c r="UP2" s="35"/>
      <c r="UQ2" s="35"/>
      <c r="UR2" s="35"/>
      <c r="US2" s="35"/>
      <c r="UT2" s="35"/>
      <c r="UU2" s="35"/>
      <c r="UV2" s="35"/>
      <c r="UW2" s="35"/>
      <c r="UX2" s="35"/>
      <c r="UY2" s="35"/>
      <c r="UZ2" s="35"/>
      <c r="VA2" s="35"/>
      <c r="VB2" s="35"/>
      <c r="VC2" s="35"/>
      <c r="VD2" s="35"/>
      <c r="VE2" s="35"/>
      <c r="VF2" s="35"/>
      <c r="VG2" s="35"/>
      <c r="VH2" s="35"/>
      <c r="VI2" s="35"/>
      <c r="VJ2" s="35"/>
      <c r="VK2" s="35"/>
      <c r="VL2" s="35"/>
      <c r="VM2" s="35"/>
      <c r="VN2" s="35"/>
      <c r="VO2" s="35"/>
      <c r="VP2" s="35"/>
      <c r="VQ2" s="35"/>
      <c r="VR2" s="35"/>
      <c r="VS2" s="35"/>
      <c r="VT2" s="35"/>
      <c r="VU2" s="35"/>
      <c r="VV2" s="35"/>
      <c r="VW2" s="35"/>
      <c r="VX2" s="35"/>
      <c r="VY2" s="35"/>
      <c r="VZ2" s="35"/>
      <c r="WA2" s="35"/>
      <c r="WB2" s="35"/>
      <c r="WC2" s="35"/>
      <c r="WD2" s="35"/>
      <c r="WE2" s="35"/>
      <c r="WF2" s="35"/>
      <c r="WG2" s="35"/>
      <c r="WH2" s="35"/>
      <c r="WI2" s="35"/>
      <c r="WJ2" s="35"/>
      <c r="WK2" s="35"/>
      <c r="WL2" s="35"/>
      <c r="WM2" s="35"/>
      <c r="WN2" s="35"/>
      <c r="WO2" s="35"/>
      <c r="WP2" s="35"/>
      <c r="WQ2" s="35"/>
      <c r="WR2" s="35"/>
      <c r="WS2" s="35"/>
      <c r="WT2" s="35"/>
      <c r="WU2" s="35"/>
      <c r="WV2" s="35"/>
      <c r="WW2" s="35"/>
      <c r="WX2" s="35"/>
      <c r="WY2" s="35"/>
      <c r="WZ2" s="35"/>
      <c r="XA2" s="35"/>
      <c r="XB2" s="35"/>
      <c r="XC2" s="35"/>
      <c r="XD2" s="35"/>
      <c r="XE2" s="35"/>
      <c r="XF2" s="35"/>
      <c r="XG2" s="35"/>
      <c r="XH2" s="35"/>
      <c r="XI2" s="35"/>
      <c r="XJ2" s="35"/>
      <c r="XK2" s="35"/>
      <c r="XL2" s="35"/>
      <c r="XM2" s="35"/>
      <c r="XN2" s="35"/>
      <c r="XO2" s="35"/>
      <c r="XP2" s="35"/>
      <c r="XQ2" s="35"/>
      <c r="XR2" s="35"/>
      <c r="XS2" s="35"/>
      <c r="XT2" s="35"/>
      <c r="XU2" s="35"/>
      <c r="XV2" s="35"/>
      <c r="XW2" s="35"/>
      <c r="XX2" s="35"/>
      <c r="XY2" s="35"/>
      <c r="XZ2" s="35"/>
      <c r="YA2" s="35"/>
      <c r="YB2" s="35"/>
      <c r="YC2" s="35"/>
      <c r="YD2" s="35"/>
      <c r="YE2" s="35"/>
      <c r="YF2" s="35"/>
      <c r="YG2" s="35"/>
      <c r="YH2" s="35"/>
      <c r="YI2" s="35"/>
      <c r="YJ2" s="35"/>
      <c r="YK2" s="35"/>
      <c r="YL2" s="35"/>
      <c r="YM2" s="35"/>
      <c r="YN2" s="35"/>
      <c r="YO2" s="35"/>
      <c r="YP2" s="35"/>
      <c r="YQ2" s="35"/>
      <c r="YR2" s="35"/>
      <c r="YS2" s="35"/>
      <c r="YT2" s="35"/>
      <c r="YU2" s="35"/>
      <c r="YV2" s="35"/>
      <c r="YW2" s="35"/>
      <c r="YX2" s="35"/>
      <c r="YY2" s="35"/>
      <c r="YZ2" s="35"/>
      <c r="ZA2" s="35"/>
      <c r="ZB2" s="35"/>
      <c r="ZC2" s="35"/>
      <c r="ZD2" s="35"/>
      <c r="ZE2" s="35"/>
      <c r="ZF2" s="35"/>
      <c r="ZG2" s="35"/>
      <c r="ZH2" s="35"/>
      <c r="ZI2" s="35"/>
      <c r="ZJ2" s="35"/>
      <c r="ZK2" s="35"/>
      <c r="ZL2" s="35"/>
      <c r="ZM2" s="35"/>
      <c r="ZN2" s="35"/>
      <c r="ZO2" s="35"/>
      <c r="ZP2" s="35"/>
      <c r="ZQ2" s="35"/>
      <c r="ZR2" s="35"/>
      <c r="ZS2" s="35"/>
      <c r="ZT2" s="35"/>
      <c r="ZU2" s="35"/>
      <c r="ZV2" s="35"/>
      <c r="ZW2" s="35"/>
      <c r="ZX2" s="35"/>
      <c r="ZY2" s="35"/>
      <c r="ZZ2" s="35"/>
      <c r="AAA2" s="35"/>
      <c r="AAB2" s="35"/>
      <c r="AAC2" s="35"/>
      <c r="AAD2" s="35"/>
      <c r="AAE2" s="35"/>
      <c r="AAF2" s="35"/>
      <c r="AAG2" s="35"/>
      <c r="AAH2" s="35"/>
      <c r="AAI2" s="35"/>
      <c r="AAJ2" s="35"/>
      <c r="AAK2" s="35"/>
      <c r="AAL2" s="35"/>
      <c r="AAM2" s="35"/>
      <c r="AAN2" s="35"/>
      <c r="AAO2" s="35"/>
      <c r="AAP2" s="35"/>
      <c r="AAQ2" s="35"/>
      <c r="AAR2" s="35"/>
      <c r="AAS2" s="35"/>
      <c r="AAT2" s="35"/>
      <c r="AAU2" s="35"/>
      <c r="AAV2" s="35"/>
      <c r="AAW2" s="35"/>
      <c r="AAX2" s="35"/>
      <c r="AAY2" s="35"/>
      <c r="AAZ2" s="35"/>
      <c r="ABA2" s="35"/>
      <c r="ABB2" s="35"/>
      <c r="ABC2" s="35"/>
      <c r="ABD2" s="35"/>
      <c r="ABE2" s="35"/>
      <c r="ABF2" s="35"/>
      <c r="ABG2" s="35"/>
      <c r="ABH2" s="35"/>
      <c r="ABI2" s="35"/>
      <c r="ABJ2" s="35"/>
      <c r="ABK2" s="35"/>
      <c r="ABL2" s="35"/>
      <c r="ABM2" s="35"/>
      <c r="ABN2" s="35"/>
      <c r="ABO2" s="35"/>
      <c r="ABP2" s="35"/>
      <c r="ABQ2" s="35"/>
      <c r="ABR2" s="35"/>
      <c r="ABS2" s="35"/>
      <c r="ABT2" s="35"/>
      <c r="ABU2" s="35"/>
      <c r="ABV2" s="35"/>
      <c r="ABW2" s="35"/>
      <c r="ABX2" s="35"/>
      <c r="ABY2" s="35"/>
      <c r="ABZ2" s="35"/>
      <c r="ACA2" s="35"/>
      <c r="ACB2" s="35"/>
      <c r="ACC2" s="35"/>
      <c r="ACD2" s="35"/>
      <c r="ACE2" s="35"/>
      <c r="ACF2" s="35"/>
      <c r="ACG2" s="35"/>
      <c r="ACH2" s="35"/>
      <c r="ACI2" s="35"/>
      <c r="ACJ2" s="35"/>
      <c r="ACK2" s="35"/>
      <c r="ACL2" s="35"/>
      <c r="ACM2" s="35"/>
      <c r="ACN2" s="35"/>
      <c r="ACO2" s="35"/>
      <c r="ACP2" s="35"/>
      <c r="ACQ2" s="35"/>
      <c r="ACR2" s="35"/>
      <c r="ACS2" s="35"/>
      <c r="ACT2" s="35"/>
      <c r="ACU2" s="35"/>
      <c r="ACV2" s="35"/>
      <c r="ACW2" s="35"/>
      <c r="ACX2" s="35"/>
      <c r="ACY2" s="35"/>
      <c r="ACZ2" s="35"/>
      <c r="ADA2" s="35"/>
      <c r="ADB2" s="35"/>
      <c r="ADC2" s="35"/>
      <c r="ADD2" s="35"/>
      <c r="ADE2" s="35"/>
      <c r="ADF2" s="35"/>
      <c r="ADG2" s="35"/>
      <c r="ADH2" s="35"/>
      <c r="ADI2" s="35"/>
      <c r="ADJ2" s="35"/>
      <c r="ADK2" s="35"/>
      <c r="ADL2" s="35"/>
      <c r="ADM2" s="35"/>
      <c r="ADN2" s="35"/>
      <c r="ADO2" s="35"/>
      <c r="ADP2" s="35"/>
      <c r="ADQ2" s="35"/>
      <c r="ADR2" s="35"/>
      <c r="ADS2" s="35"/>
      <c r="ADT2" s="35"/>
      <c r="ADU2" s="35"/>
      <c r="ADV2" s="35"/>
      <c r="ADW2" s="35"/>
      <c r="ADX2" s="35"/>
      <c r="ADY2" s="35"/>
      <c r="ADZ2" s="35"/>
      <c r="AEA2" s="35"/>
      <c r="AEB2" s="35"/>
      <c r="AEC2" s="35"/>
      <c r="AED2" s="35"/>
      <c r="AEE2" s="35"/>
      <c r="AEF2" s="35"/>
      <c r="AEG2" s="35"/>
      <c r="AEH2" s="35"/>
      <c r="AEI2" s="35"/>
      <c r="AEJ2" s="35"/>
      <c r="AEK2" s="35"/>
      <c r="AEL2" s="35"/>
      <c r="AEM2" s="35"/>
      <c r="AEN2" s="35"/>
      <c r="AEO2" s="35"/>
      <c r="AEP2" s="35"/>
      <c r="AEQ2" s="35"/>
      <c r="AER2" s="35"/>
      <c r="AES2" s="35"/>
      <c r="AET2" s="35"/>
      <c r="AEU2" s="35"/>
      <c r="AEV2" s="35"/>
      <c r="AEW2" s="35"/>
      <c r="AEX2" s="35"/>
      <c r="AEY2" s="35"/>
      <c r="AEZ2" s="35"/>
      <c r="AFA2" s="35"/>
      <c r="AFB2" s="35"/>
      <c r="AFC2" s="35"/>
      <c r="AFD2" s="35"/>
      <c r="AFE2" s="35"/>
      <c r="AFF2" s="35"/>
      <c r="AFG2" s="35"/>
      <c r="AFH2" s="35"/>
      <c r="AFI2" s="35"/>
      <c r="AFJ2" s="35"/>
      <c r="AFK2" s="35"/>
      <c r="AFL2" s="35"/>
      <c r="AFM2" s="35"/>
      <c r="AFN2" s="35"/>
      <c r="AFO2" s="35"/>
      <c r="AFP2" s="35"/>
      <c r="AFQ2" s="35"/>
      <c r="AFR2" s="35"/>
      <c r="AFS2" s="35"/>
      <c r="AFT2" s="35"/>
      <c r="AFU2" s="35"/>
      <c r="AFV2" s="35"/>
      <c r="AFW2" s="35"/>
      <c r="AFX2" s="35"/>
      <c r="AFY2" s="35"/>
      <c r="AFZ2" s="35"/>
      <c r="AGA2" s="35"/>
      <c r="AGB2" s="35"/>
      <c r="AGC2" s="35"/>
      <c r="AGD2" s="35"/>
      <c r="AGE2" s="35"/>
      <c r="AGF2" s="35"/>
      <c r="AGG2" s="35"/>
      <c r="AGH2" s="35"/>
      <c r="AGI2" s="35"/>
      <c r="AGJ2" s="35"/>
      <c r="AGK2" s="35"/>
      <c r="AGL2" s="35"/>
      <c r="AGM2" s="35"/>
      <c r="AGN2" s="35"/>
      <c r="AGO2" s="35"/>
      <c r="AGP2" s="35"/>
      <c r="AGQ2" s="35"/>
      <c r="AGR2" s="35"/>
      <c r="AGS2" s="35"/>
      <c r="AGT2" s="35"/>
      <c r="AGU2" s="35"/>
      <c r="AGV2" s="35"/>
      <c r="AGW2" s="35"/>
      <c r="AGX2" s="35"/>
      <c r="AGY2" s="35"/>
      <c r="AGZ2" s="35"/>
      <c r="AHA2" s="35"/>
      <c r="AHB2" s="35"/>
      <c r="AHC2" s="35"/>
      <c r="AHD2" s="35"/>
      <c r="AHE2" s="35"/>
      <c r="AHF2" s="35"/>
      <c r="AHG2" s="35"/>
      <c r="AHH2" s="35"/>
      <c r="AHI2" s="35"/>
      <c r="AHJ2" s="35"/>
      <c r="AHK2" s="35"/>
      <c r="AHL2" s="35"/>
      <c r="AHM2" s="35"/>
      <c r="AHN2" s="35"/>
      <c r="AHO2" s="35"/>
      <c r="AHP2" s="35"/>
      <c r="AHQ2" s="35"/>
      <c r="AHR2" s="35"/>
      <c r="AHS2" s="35"/>
      <c r="AHT2" s="35"/>
      <c r="AHU2" s="35"/>
      <c r="AHV2" s="35"/>
      <c r="AHW2" s="35"/>
      <c r="AHX2" s="35"/>
      <c r="AHY2" s="35"/>
      <c r="AHZ2" s="35"/>
      <c r="AIA2" s="35"/>
      <c r="AIB2" s="35"/>
      <c r="AIC2" s="35"/>
      <c r="AID2" s="35"/>
      <c r="AIE2" s="35"/>
      <c r="AIF2" s="35"/>
      <c r="AIG2" s="35"/>
      <c r="AIH2" s="35"/>
      <c r="AII2" s="35"/>
      <c r="AIJ2" s="35"/>
      <c r="AIK2" s="35"/>
      <c r="AIL2" s="35"/>
      <c r="AIM2" s="35"/>
      <c r="AIN2" s="35"/>
      <c r="AIO2" s="35"/>
      <c r="AIP2" s="35"/>
      <c r="AIQ2" s="35"/>
      <c r="AIR2" s="35"/>
      <c r="AIS2" s="35"/>
      <c r="AIT2" s="35"/>
      <c r="AIU2" s="35"/>
      <c r="AIV2" s="35"/>
      <c r="AIW2" s="35"/>
      <c r="AIX2" s="35"/>
      <c r="AIY2" s="35"/>
      <c r="AIZ2" s="35"/>
      <c r="AJA2" s="35"/>
      <c r="AJB2" s="35"/>
      <c r="AJC2" s="35"/>
      <c r="AJD2" s="35"/>
      <c r="AJE2" s="35"/>
      <c r="AJF2" s="35"/>
      <c r="AJG2" s="35"/>
      <c r="AJH2" s="35"/>
      <c r="AJI2" s="35"/>
      <c r="AJJ2" s="35"/>
      <c r="AJK2" s="35"/>
      <c r="AJL2" s="35"/>
      <c r="AJM2" s="35"/>
      <c r="AJN2" s="35"/>
      <c r="AJO2" s="35"/>
      <c r="AJP2" s="35"/>
      <c r="AJQ2" s="35"/>
      <c r="AJR2" s="35"/>
      <c r="AJS2" s="35"/>
      <c r="AJT2" s="35"/>
      <c r="AJU2" s="35"/>
      <c r="AJV2" s="35"/>
      <c r="AJW2" s="35"/>
      <c r="AJX2" s="35"/>
      <c r="AJY2" s="35"/>
      <c r="AJZ2" s="35"/>
      <c r="AKA2" s="35"/>
      <c r="AKB2" s="35"/>
      <c r="AKC2" s="35"/>
      <c r="AKD2" s="35"/>
      <c r="AKE2" s="35"/>
      <c r="AKF2" s="35"/>
      <c r="AKG2" s="35"/>
      <c r="AKH2" s="35"/>
      <c r="AKI2" s="35"/>
      <c r="AKJ2" s="35"/>
      <c r="AKK2" s="35"/>
      <c r="AKL2" s="35"/>
      <c r="AKM2" s="35"/>
      <c r="AKN2" s="35"/>
      <c r="AKO2" s="35"/>
      <c r="AKP2" s="35"/>
      <c r="AKQ2" s="35"/>
      <c r="AKR2" s="35"/>
      <c r="AKS2" s="35"/>
      <c r="AKT2" s="35"/>
      <c r="AKU2" s="35"/>
      <c r="AKV2" s="35"/>
      <c r="AKW2" s="35"/>
      <c r="AKX2" s="35"/>
      <c r="AKY2" s="35"/>
      <c r="AKZ2" s="35"/>
      <c r="ALA2" s="35"/>
      <c r="ALB2" s="35"/>
      <c r="ALC2" s="35"/>
      <c r="ALD2" s="35"/>
      <c r="ALE2" s="35"/>
      <c r="ALF2" s="35"/>
      <c r="ALG2" s="35"/>
      <c r="ALH2" s="35"/>
      <c r="ALI2" s="35"/>
      <c r="ALJ2" s="35"/>
      <c r="ALK2" s="35"/>
      <c r="ALL2" s="35"/>
      <c r="ALM2" s="35"/>
      <c r="ALN2" s="35"/>
      <c r="ALO2" s="35"/>
      <c r="ALP2" s="35"/>
      <c r="ALQ2" s="35"/>
      <c r="ALR2" s="35"/>
      <c r="ALS2" s="35"/>
      <c r="ALT2" s="35"/>
      <c r="ALU2" s="35"/>
      <c r="ALV2" s="35"/>
      <c r="ALW2" s="35"/>
      <c r="ALX2" s="35"/>
      <c r="ALY2" s="35"/>
      <c r="ALZ2" s="35"/>
      <c r="AMA2" s="35"/>
      <c r="AMB2" s="35"/>
    </row>
    <row r="3" customFormat="false" ht="12.75" hidden="false" customHeight="true" outlineLevel="0" collapsed="false">
      <c r="A3" s="8"/>
      <c r="B3" s="1"/>
      <c r="C3" s="1"/>
      <c r="D3" s="1"/>
      <c r="E3" s="1"/>
      <c r="F3" s="37"/>
      <c r="G3" s="37"/>
      <c r="H3" s="37"/>
      <c r="I3" s="33"/>
      <c r="J3" s="33"/>
      <c r="K3" s="33"/>
      <c r="L3" s="33"/>
      <c r="M3" s="33"/>
      <c r="N3" s="33"/>
      <c r="O3" s="33"/>
      <c r="P3" s="36"/>
      <c r="Q3" s="36"/>
      <c r="R3" s="36"/>
      <c r="S3" s="36"/>
      <c r="T3" s="36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</row>
    <row r="4" customFormat="false" ht="12.75" hidden="false" customHeight="true" outlineLevel="0" collapsed="false">
      <c r="A4" s="29" t="str">
        <f aca="false">IF(ISBLANK([1]FERMETURES!C201),"",[1]FERMETURES!C201)</f>
        <v/>
      </c>
      <c r="B4" s="30" t="s">
        <v>32</v>
      </c>
      <c r="C4" s="30" t="s">
        <v>33</v>
      </c>
      <c r="D4" s="30" t="s">
        <v>34</v>
      </c>
      <c r="E4" s="8" t="s">
        <v>35</v>
      </c>
      <c r="F4" s="31" t="s">
        <v>36</v>
      </c>
      <c r="G4" s="31" t="s">
        <v>37</v>
      </c>
      <c r="H4" s="31" t="s">
        <v>38</v>
      </c>
      <c r="I4" s="32" t="s">
        <v>39</v>
      </c>
      <c r="J4" s="32" t="s">
        <v>40</v>
      </c>
      <c r="K4" s="32" t="s">
        <v>41</v>
      </c>
      <c r="L4" s="32" t="s">
        <v>42</v>
      </c>
      <c r="M4" s="32" t="s">
        <v>43</v>
      </c>
      <c r="N4" s="32" t="s">
        <v>44</v>
      </c>
      <c r="O4" s="32" t="s">
        <v>45</v>
      </c>
      <c r="P4" s="30" t="s">
        <v>46</v>
      </c>
      <c r="Q4" s="30" t="s">
        <v>47</v>
      </c>
      <c r="R4" s="30" t="s">
        <v>48</v>
      </c>
      <c r="S4" s="30" t="s">
        <v>49</v>
      </c>
      <c r="T4" s="30" t="s">
        <v>50</v>
      </c>
    </row>
    <row r="1048576" customFormat="false" ht="12.8" hidden="false" customHeight="false" outlineLevel="0" collapsed="false"/>
  </sheetData>
  <mergeCells count="22">
    <mergeCell ref="B1:B3"/>
    <mergeCell ref="C1:H1"/>
    <mergeCell ref="I1:N1"/>
    <mergeCell ref="O1:T1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2026-09-20T12:28:27Z</dcterms:created>
  <dc:creator>openpyxl</dc:creator>
  <dc:description/>
  <dc:language>fr-FR</dc:language>
  <cp:lastModifiedBy/>
  <dcterms:modified xsi:type="dcterms:W3CDTF">2026-09-20T18:06:02Z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